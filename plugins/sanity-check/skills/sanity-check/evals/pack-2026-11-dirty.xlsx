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sz val="9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  <xf numFmtId="9" fontId="3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Board pack — cost summary, November 2026</t>
        </is>
      </c>
    </row>
    <row r="2">
      <c r="A2" s="2" t="inlineStr">
        <is>
          <t>All figures £000s unless stated.</t>
        </is>
      </c>
    </row>
    <row r="4">
      <c r="A4" s="3" t="inlineStr">
        <is>
          <t>Segment</t>
        </is>
      </c>
      <c r="B4" s="3" t="inlineStr">
        <is>
          <t>Cost (£000s)</t>
        </is>
      </c>
      <c r="C4" s="3" t="inlineStr">
        <is>
          <t>Share</t>
        </is>
      </c>
      <c r="D4" s="3" t="inlineStr">
        <is>
          <t>Headcount</t>
        </is>
      </c>
      <c r="E4" s="3" t="inlineStr">
        <is>
          <t>Plan (£000s)</t>
        </is>
      </c>
      <c r="F4" s="3" t="inlineStr">
        <is>
          <t>Var to plan</t>
        </is>
      </c>
    </row>
    <row r="5">
      <c r="A5" t="inlineStr">
        <is>
          <t>Operations</t>
        </is>
      </c>
      <c r="B5" t="n">
        <v>1826</v>
      </c>
      <c r="C5" s="4" t="n">
        <v>0.57</v>
      </c>
      <c r="D5" t="n">
        <v>66</v>
      </c>
      <c r="E5" t="n">
        <v>1800</v>
      </c>
      <c r="F5">
        <f>B5-E5</f>
        <v/>
      </c>
    </row>
    <row r="6">
      <c r="A6" t="inlineStr">
        <is>
          <t>Technology</t>
        </is>
      </c>
      <c r="B6" t="n">
        <v>942</v>
      </c>
      <c r="C6" s="4" t="n">
        <v>0.31</v>
      </c>
      <c r="D6" t="n">
        <v>30</v>
      </c>
      <c r="E6" t="n">
        <v>900</v>
      </c>
      <c r="F6">
        <f>B6-E6</f>
        <v/>
      </c>
    </row>
    <row r="7">
      <c r="A7" t="inlineStr">
        <is>
          <t>Corporate</t>
        </is>
      </c>
      <c r="B7" t="n">
        <v>438</v>
      </c>
      <c r="C7" s="4" t="n">
        <v>0.15</v>
      </c>
      <c r="D7" t="n">
        <v>15</v>
      </c>
      <c r="E7" t="n">
        <v>450</v>
      </c>
      <c r="F7">
        <f>B7-E7</f>
        <v/>
      </c>
    </row>
    <row r="8">
      <c r="A8" s="3" t="inlineStr">
        <is>
          <t>Total</t>
        </is>
      </c>
      <c r="B8" s="3">
        <f>SUM(B5:B7)</f>
        <v/>
      </c>
      <c r="C8" s="5">
        <f>SUM(C5:C7)</f>
        <v/>
      </c>
      <c r="D8" s="3" t="n">
        <v>113</v>
      </c>
      <c r="E8" s="3">
        <f>SUM(E5:E7)</f>
        <v/>
      </c>
      <c r="F8" s="3" t="n">
        <v>56</v>
      </c>
    </row>
    <row r="10">
      <c r="A10" t="inlineStr">
        <is>
          <t>Capacity utilisation</t>
        </is>
      </c>
      <c r="B10" s="4" t="n">
        <v>1.14</v>
      </c>
    </row>
    <row r="11">
      <c r="A11" t="inlineStr">
        <is>
          <t>Cost per head (£000s)</t>
        </is>
      </c>
      <c r="B11" t="n">
        <v>28.9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4" customWidth="1" min="4" max="4"/>
    <col width="14" customWidth="1" min="5" max="5"/>
    <col width="11" customWidth="1" min="6" max="6"/>
  </cols>
  <sheetData>
    <row r="1">
      <c r="A1" s="6" t="inlineStr">
        <is>
          <t>Cost detail — November 2026</t>
        </is>
      </c>
    </row>
    <row r="2">
      <c r="A2" s="2" t="inlineStr">
        <is>
          <t>Data as at: 30-Sep-2026</t>
        </is>
      </c>
    </row>
    <row r="4">
      <c r="A4" s="3" t="inlineStr">
        <is>
          <t>Cost centre</t>
        </is>
      </c>
      <c r="B4" s="3" t="inlineStr">
        <is>
          <t>Region</t>
        </is>
      </c>
      <c r="C4" s="3" t="inlineStr">
        <is>
          <t>Headcount</t>
        </is>
      </c>
      <c r="D4" s="3" t="inlineStr">
        <is>
          <t>Cost (£000s)</t>
        </is>
      </c>
      <c r="E4" s="3" t="inlineStr">
        <is>
          <t>Recharge (£)</t>
        </is>
      </c>
      <c r="F4" s="3" t="inlineStr">
        <is>
          <t>% of total</t>
        </is>
      </c>
    </row>
    <row r="5">
      <c r="A5" t="inlineStr">
        <is>
          <t>CC-101</t>
        </is>
      </c>
      <c r="B5" t="inlineStr">
        <is>
          <t>UK</t>
        </is>
      </c>
      <c r="C5" t="n">
        <v>42</v>
      </c>
      <c r="D5" t="n">
        <v>1184</v>
      </c>
      <c r="E5" t="n">
        <v>42000</v>
      </c>
      <c r="F5" s="7">
        <f>D5/$D$14</f>
        <v/>
      </c>
    </row>
    <row r="6">
      <c r="A6" t="inlineStr">
        <is>
          <t>CC-102</t>
        </is>
      </c>
      <c r="B6" t="inlineStr">
        <is>
          <t>DACH</t>
        </is>
      </c>
      <c r="C6" t="n">
        <v>18</v>
      </c>
      <c r="D6" t="n">
        <v>642</v>
      </c>
      <c r="E6" t="n">
        <v>18000</v>
      </c>
      <c r="F6" s="7">
        <f>D6/$D$14</f>
        <v/>
      </c>
    </row>
    <row r="7">
      <c r="A7" t="inlineStr">
        <is>
          <t>CC-103</t>
        </is>
      </c>
      <c r="B7" t="inlineStr">
        <is>
          <t>France</t>
        </is>
      </c>
      <c r="C7" t="n">
        <v>12</v>
      </c>
      <c r="D7" t="n">
        <v>418</v>
      </c>
      <c r="E7" t="n">
        <v>12000</v>
      </c>
      <c r="F7" s="7">
        <f>D7/$D$14</f>
        <v/>
      </c>
    </row>
    <row r="8">
      <c r="A8" t="inlineStr">
        <is>
          <t>CC-104</t>
        </is>
      </c>
      <c r="B8" t="inlineStr">
        <is>
          <t>Ireland</t>
        </is>
      </c>
      <c r="C8" t="n">
        <v>9</v>
      </c>
      <c r="D8" t="n">
        <v>301</v>
      </c>
      <c r="E8" t="n">
        <v>9000</v>
      </c>
      <c r="F8" s="7">
        <f>D8/$D$14</f>
        <v/>
      </c>
    </row>
    <row r="9">
      <c r="A9" t="inlineStr">
        <is>
          <t>CC-105</t>
        </is>
      </c>
      <c r="B9" t="inlineStr">
        <is>
          <t>Nordics</t>
        </is>
      </c>
      <c r="C9" t="n">
        <v>6</v>
      </c>
      <c r="D9" t="n">
        <v>188</v>
      </c>
      <c r="E9" t="n">
        <v>6000</v>
      </c>
      <c r="F9" s="7">
        <f>D9/D17</f>
        <v/>
      </c>
    </row>
    <row r="10">
      <c r="A10" t="inlineStr">
        <is>
          <t>CC-106</t>
        </is>
      </c>
      <c r="B10" t="inlineStr">
        <is>
          <t>Iberia</t>
        </is>
      </c>
      <c r="C10" t="n">
        <v>5</v>
      </c>
      <c r="D10" t="n">
        <v>151</v>
      </c>
      <c r="E10" t="n">
        <v>5000</v>
      </c>
      <c r="F10" s="7">
        <f>D10/$D$14</f>
        <v/>
      </c>
    </row>
    <row r="11">
      <c r="A11" t="inlineStr">
        <is>
          <t>CC-103</t>
        </is>
      </c>
      <c r="B11" t="inlineStr">
        <is>
          <t>France</t>
        </is>
      </c>
      <c r="C11" t="n">
        <v>12</v>
      </c>
      <c r="D11" t="n">
        <v>418</v>
      </c>
      <c r="E11" t="n">
        <v>12000</v>
      </c>
      <c r="F11" s="7">
        <f>D11/$D$14</f>
        <v/>
      </c>
    </row>
    <row r="12">
      <c r="A12" t="inlineStr">
        <is>
          <t>CC-107</t>
        </is>
      </c>
      <c r="B12" t="inlineStr">
        <is>
          <t>Benelux</t>
        </is>
      </c>
      <c r="C12" t="n">
        <v>4</v>
      </c>
      <c r="D12" t="n">
        <v>-96</v>
      </c>
      <c r="E12" t="n">
        <v>4000</v>
      </c>
      <c r="F12" s="7">
        <f>D12/$D$14</f>
        <v/>
      </c>
    </row>
    <row r="13">
      <c r="A13" t="inlineStr">
        <is>
          <t>CC-108</t>
        </is>
      </c>
      <c r="B13" t="inlineStr">
        <is>
          <t>Italy</t>
        </is>
      </c>
      <c r="C13" t="n">
        <v>3</v>
      </c>
      <c r="D13" t="inlineStr">
        <is>
          <t>TBC</t>
        </is>
      </c>
      <c r="E13" t="n">
        <v>3000</v>
      </c>
      <c r="F13" s="7">
        <f>D13/$D$14</f>
        <v/>
      </c>
    </row>
    <row r="14">
      <c r="A14" s="3" t="inlineStr">
        <is>
          <t>Total</t>
        </is>
      </c>
      <c r="C14" s="3">
        <f>SUM(C5:C13)</f>
        <v/>
      </c>
      <c r="D14" s="3" t="n">
        <v>3388</v>
      </c>
      <c r="E14" s="3">
        <f>SUM(E5:E13)</f>
        <v/>
      </c>
      <c r="F14" s="8">
        <f>SUM(F5:F13)</f>
        <v/>
      </c>
    </row>
    <row r="16">
      <c r="A16" s="2" t="inlineStr">
        <is>
          <t>Figures rounded to the nearest £1k; components may not sum exactly.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2026-09-21T00:03:20Z</dcterms:created>
  <dcterms:modified xmlns:dcterms="http://purl.org/dc/terms/" xmlns:xsi="http://www.w3.org/2001/XMLSchema-instance" xsi:type="dcterms:W3CDTF">2026-09-21T00:03:20Z</dcterms:modified>
</cp:coreProperties>
</file>